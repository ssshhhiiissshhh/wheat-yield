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molk\data\QGIS\"/>
    </mc:Choice>
  </mc:AlternateContent>
  <xr:revisionPtr revIDLastSave="0" documentId="13_ncr:1_{0070602E-4BAF-4592-B6F2-F6B5A2E4FA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4" i="1" l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13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76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39" i="1"/>
</calcChain>
</file>

<file path=xl/sharedStrings.xml><?xml version="1.0" encoding="utf-8"?>
<sst xmlns="http://schemas.openxmlformats.org/spreadsheetml/2006/main" count="4" uniqueCount="4">
  <si>
    <t>plot_id</t>
  </si>
  <si>
    <t>mean_ndvi</t>
  </si>
  <si>
    <t>genotype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</si>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</sst>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3;&#1080;&#1095;_&#1087;&#1088;&#1080;&#1079;&#1085;&#1072;&#1082;&#1080;_&#1050;&#1057;&#1048;_&#1057;&#1080;&#1073;&#1053;&#1048;&#1048;&#1056;&#1057;_2023_2024_&#1075;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3"/>
      <sheetName val="2024"/>
    </sheetNames>
    <sheetDataSet>
      <sheetData sheetId="0"/>
      <sheetData sheetId="1">
        <row r="1">
          <cell r="C1" t="str">
            <v>Урожайность, т/га</v>
          </cell>
        </row>
        <row r="2">
          <cell r="C2" t="str">
            <v>I</v>
          </cell>
          <cell r="D2" t="str">
            <v>II</v>
          </cell>
          <cell r="E2" t="str">
            <v>III</v>
          </cell>
          <cell r="F2" t="str">
            <v>IV</v>
          </cell>
        </row>
        <row r="3">
          <cell r="A3" t="str">
            <v>Номер сорта</v>
          </cell>
          <cell r="B3" t="str">
            <v>Сорт</v>
          </cell>
          <cell r="C3" t="str">
            <v>Урожайность 1</v>
          </cell>
          <cell r="D3" t="str">
            <v>Урожайность 2</v>
          </cell>
          <cell r="E3" t="str">
            <v>Урожайность 3</v>
          </cell>
          <cell r="F3" t="str">
            <v>Урожайность 4</v>
          </cell>
        </row>
        <row r="4">
          <cell r="A4">
            <v>1</v>
          </cell>
          <cell r="B4" t="str">
            <v>Новосибирская 15</v>
          </cell>
          <cell r="C4">
            <v>1.9</v>
          </cell>
          <cell r="D4">
            <v>2.8</v>
          </cell>
          <cell r="E4">
            <v>2.93</v>
          </cell>
          <cell r="F4">
            <v>2.5</v>
          </cell>
        </row>
        <row r="5">
          <cell r="A5">
            <v>2</v>
          </cell>
          <cell r="B5" t="str">
            <v>Новосибирская 16</v>
          </cell>
          <cell r="C5">
            <v>2.2400000000000002</v>
          </cell>
          <cell r="D5">
            <v>2.56</v>
          </cell>
          <cell r="E5">
            <v>2.92</v>
          </cell>
          <cell r="F5">
            <v>2.68</v>
          </cell>
        </row>
        <row r="6">
          <cell r="A6">
            <v>3</v>
          </cell>
          <cell r="B6" t="str">
            <v>Новосибирская 41</v>
          </cell>
          <cell r="C6">
            <v>2.5</v>
          </cell>
          <cell r="D6">
            <v>2.34</v>
          </cell>
          <cell r="E6">
            <v>2.82</v>
          </cell>
          <cell r="F6">
            <v>2.36</v>
          </cell>
        </row>
        <row r="7">
          <cell r="A7">
            <v>4</v>
          </cell>
          <cell r="B7" t="str">
            <v>Новосибирская 31</v>
          </cell>
          <cell r="C7">
            <v>2.4500000000000002</v>
          </cell>
          <cell r="D7">
            <v>2.8</v>
          </cell>
          <cell r="E7">
            <v>3.43</v>
          </cell>
          <cell r="F7">
            <v>2.4300000000000002</v>
          </cell>
        </row>
        <row r="8">
          <cell r="A8">
            <v>5</v>
          </cell>
          <cell r="B8" t="str">
            <v>Новосибирская 18</v>
          </cell>
          <cell r="C8">
            <v>2.76</v>
          </cell>
          <cell r="D8">
            <v>2.5499999999999998</v>
          </cell>
          <cell r="E8">
            <v>3.13</v>
          </cell>
          <cell r="F8">
            <v>2.8</v>
          </cell>
        </row>
        <row r="9">
          <cell r="A9">
            <v>6</v>
          </cell>
          <cell r="B9" t="str">
            <v>Омская 36</v>
          </cell>
          <cell r="C9">
            <v>2.4300000000000002</v>
          </cell>
          <cell r="D9">
            <v>2.89</v>
          </cell>
          <cell r="E9">
            <v>3.19</v>
          </cell>
          <cell r="F9">
            <v>2.65</v>
          </cell>
        </row>
        <row r="10">
          <cell r="A10">
            <v>7</v>
          </cell>
          <cell r="B10" t="str">
            <v>Новосибирская 49</v>
          </cell>
          <cell r="C10">
            <v>2.6</v>
          </cell>
          <cell r="D10">
            <v>3.19</v>
          </cell>
          <cell r="E10">
            <v>2.96</v>
          </cell>
          <cell r="F10">
            <v>2.98</v>
          </cell>
        </row>
        <row r="11">
          <cell r="A11">
            <v>8</v>
          </cell>
          <cell r="B11" t="str">
            <v>Обская 2</v>
          </cell>
          <cell r="C11">
            <v>2.87</v>
          </cell>
          <cell r="D11">
            <v>3.34</v>
          </cell>
          <cell r="E11">
            <v>3.09</v>
          </cell>
          <cell r="F11">
            <v>3.15</v>
          </cell>
        </row>
        <row r="12">
          <cell r="A12">
            <v>9</v>
          </cell>
          <cell r="B12" t="str">
            <v>Загора Новосибирская</v>
          </cell>
          <cell r="C12">
            <v>2.4900000000000002</v>
          </cell>
          <cell r="D12">
            <v>2.59</v>
          </cell>
          <cell r="E12">
            <v>2.64</v>
          </cell>
          <cell r="F12">
            <v>2.69</v>
          </cell>
        </row>
        <row r="13">
          <cell r="A13">
            <v>10</v>
          </cell>
          <cell r="B13" t="str">
            <v>Суенга</v>
          </cell>
          <cell r="C13">
            <v>2.92</v>
          </cell>
          <cell r="D13">
            <v>2.7</v>
          </cell>
          <cell r="E13">
            <v>3.01</v>
          </cell>
          <cell r="F13">
            <v>3.16</v>
          </cell>
        </row>
        <row r="14">
          <cell r="A14">
            <v>11</v>
          </cell>
          <cell r="B14" t="str">
            <v>Новосибирская 75</v>
          </cell>
          <cell r="C14">
            <v>2.29</v>
          </cell>
          <cell r="D14">
            <v>2.88</v>
          </cell>
          <cell r="E14">
            <v>2.71</v>
          </cell>
          <cell r="F14">
            <v>2.66</v>
          </cell>
        </row>
        <row r="15">
          <cell r="A15">
            <v>12</v>
          </cell>
          <cell r="B15" t="str">
            <v>Салаира</v>
          </cell>
          <cell r="C15">
            <v>3.21</v>
          </cell>
          <cell r="D15">
            <v>3.52</v>
          </cell>
          <cell r="E15">
            <v>3.17</v>
          </cell>
          <cell r="F15">
            <v>3.68</v>
          </cell>
        </row>
        <row r="16">
          <cell r="A16">
            <v>13</v>
          </cell>
          <cell r="B16" t="str">
            <v>Л1353/78д 1/5-17</v>
          </cell>
          <cell r="C16">
            <v>2.12</v>
          </cell>
          <cell r="D16">
            <v>2.72</v>
          </cell>
          <cell r="E16">
            <v>2.4500000000000002</v>
          </cell>
          <cell r="F16">
            <v>2.71</v>
          </cell>
        </row>
        <row r="17">
          <cell r="A17">
            <v>14</v>
          </cell>
          <cell r="B17" t="str">
            <v>Л2123/479л 1/4-19</v>
          </cell>
          <cell r="C17">
            <v>2.79</v>
          </cell>
          <cell r="D17">
            <v>3.54</v>
          </cell>
          <cell r="E17">
            <v>3.14</v>
          </cell>
          <cell r="F17">
            <v>2.9</v>
          </cell>
        </row>
        <row r="18">
          <cell r="A18">
            <v>15</v>
          </cell>
          <cell r="B18" t="str">
            <v>Л2019/420и 1/3-20</v>
          </cell>
          <cell r="C18">
            <v>2.79</v>
          </cell>
          <cell r="D18">
            <v>3.36</v>
          </cell>
          <cell r="E18">
            <v>3.16</v>
          </cell>
          <cell r="F18">
            <v>3.21</v>
          </cell>
        </row>
        <row r="19">
          <cell r="A19">
            <v>16</v>
          </cell>
          <cell r="B19" t="str">
            <v>Л2048/479л 1/3-20</v>
          </cell>
          <cell r="C19">
            <v>2.65</v>
          </cell>
          <cell r="D19">
            <v>3.21</v>
          </cell>
          <cell r="E19">
            <v>2.5499999999999998</v>
          </cell>
          <cell r="F19">
            <v>3.26</v>
          </cell>
        </row>
        <row r="20">
          <cell r="A20">
            <v>17</v>
          </cell>
          <cell r="B20" t="str">
            <v>Л2095/560м 1/13-20</v>
          </cell>
          <cell r="C20">
            <v>2.94</v>
          </cell>
          <cell r="D20">
            <v>3.15</v>
          </cell>
          <cell r="E20">
            <v>2.72</v>
          </cell>
          <cell r="F20">
            <v>2.78</v>
          </cell>
        </row>
        <row r="21">
          <cell r="A21">
            <v>18</v>
          </cell>
          <cell r="B21" t="str">
            <v>Л2104/574м 1/11-20</v>
          </cell>
          <cell r="C21">
            <v>2.98</v>
          </cell>
          <cell r="D21">
            <v>3.57</v>
          </cell>
          <cell r="E21">
            <v>3.18</v>
          </cell>
          <cell r="F21">
            <v>2.8</v>
          </cell>
        </row>
        <row r="22">
          <cell r="A22">
            <v>19</v>
          </cell>
          <cell r="B22" t="str">
            <v>Л2142/359к 1/1-20</v>
          </cell>
          <cell r="C22">
            <v>2.5099999999999998</v>
          </cell>
          <cell r="D22">
            <v>2.5099999999999998</v>
          </cell>
          <cell r="E22">
            <v>2.62</v>
          </cell>
          <cell r="F22">
            <v>2.44</v>
          </cell>
        </row>
        <row r="23">
          <cell r="A23">
            <v>20</v>
          </cell>
          <cell r="B23" t="str">
            <v>Л2149/72д 1/2-20</v>
          </cell>
          <cell r="C23">
            <v>2.68</v>
          </cell>
          <cell r="D23">
            <v>2.75</v>
          </cell>
          <cell r="E23">
            <v>3.13</v>
          </cell>
          <cell r="F23">
            <v>2.6</v>
          </cell>
        </row>
        <row r="24">
          <cell r="A24">
            <v>21</v>
          </cell>
          <cell r="B24" t="str">
            <v>Сибирская 12</v>
          </cell>
          <cell r="C24">
            <v>2.23</v>
          </cell>
          <cell r="D24">
            <v>2.42</v>
          </cell>
          <cell r="E24">
            <v>2.4300000000000002</v>
          </cell>
          <cell r="F24">
            <v>2.11</v>
          </cell>
        </row>
        <row r="25">
          <cell r="A25">
            <v>22</v>
          </cell>
          <cell r="B25" t="str">
            <v>Л2117/522м 1/2-21</v>
          </cell>
          <cell r="C25">
            <v>2.94</v>
          </cell>
          <cell r="D25">
            <v>3.57</v>
          </cell>
          <cell r="E25">
            <v>3.39</v>
          </cell>
          <cell r="F25">
            <v>2.85</v>
          </cell>
        </row>
        <row r="26">
          <cell r="A26">
            <v>23</v>
          </cell>
          <cell r="B26" t="str">
            <v>Л2175/426л 1/10-21</v>
          </cell>
          <cell r="C26">
            <v>2.95</v>
          </cell>
          <cell r="D26">
            <v>2.95</v>
          </cell>
          <cell r="E26">
            <v>3.07</v>
          </cell>
          <cell r="F26">
            <v>2.9</v>
          </cell>
        </row>
        <row r="27">
          <cell r="A27">
            <v>24</v>
          </cell>
          <cell r="B27" t="str">
            <v>Л2293/349к 1/6-22</v>
          </cell>
          <cell r="C27">
            <v>2.88</v>
          </cell>
          <cell r="D27">
            <v>3.12</v>
          </cell>
          <cell r="E27">
            <v>3.13</v>
          </cell>
          <cell r="F27">
            <v>3.1</v>
          </cell>
        </row>
        <row r="28">
          <cell r="A28">
            <v>25</v>
          </cell>
          <cell r="B28" t="str">
            <v>Тризо</v>
          </cell>
          <cell r="C28">
            <v>2.88</v>
          </cell>
          <cell r="D28">
            <v>2.75</v>
          </cell>
          <cell r="E28">
            <v>2.81</v>
          </cell>
          <cell r="F28">
            <v>2.67</v>
          </cell>
        </row>
        <row r="29">
          <cell r="A29">
            <v>26</v>
          </cell>
          <cell r="B29" t="str">
            <v>Л2100/570м 1/7-20</v>
          </cell>
          <cell r="C29">
            <v>2.73</v>
          </cell>
          <cell r="D29">
            <v>3.05</v>
          </cell>
          <cell r="E29">
            <v>3.39</v>
          </cell>
          <cell r="F29">
            <v>2.76</v>
          </cell>
        </row>
        <row r="30">
          <cell r="A30">
            <v>27</v>
          </cell>
          <cell r="B30" t="str">
            <v>Л2068/570м 1/7-21</v>
          </cell>
          <cell r="C30">
            <v>2.91</v>
          </cell>
          <cell r="D30">
            <v>2.9</v>
          </cell>
          <cell r="E30">
            <v>2.38</v>
          </cell>
          <cell r="F30">
            <v>2.89</v>
          </cell>
        </row>
        <row r="31">
          <cell r="A31">
            <v>28</v>
          </cell>
          <cell r="B31" t="str">
            <v>Л2123/550м 1/3-21</v>
          </cell>
          <cell r="C31">
            <v>2.59</v>
          </cell>
          <cell r="D31">
            <v>2.66</v>
          </cell>
          <cell r="E31">
            <v>3.66</v>
          </cell>
          <cell r="F31">
            <v>2.82</v>
          </cell>
        </row>
        <row r="32">
          <cell r="A32">
            <v>29</v>
          </cell>
          <cell r="B32" t="str">
            <v>Л2204/415л 1/2-21</v>
          </cell>
          <cell r="C32">
            <v>3.07</v>
          </cell>
          <cell r="D32">
            <v>2.89</v>
          </cell>
          <cell r="E32">
            <v>3.28</v>
          </cell>
          <cell r="F32">
            <v>3.12</v>
          </cell>
        </row>
        <row r="33">
          <cell r="A33">
            <v>30</v>
          </cell>
          <cell r="B33" t="str">
            <v>Л2206/415л 1/6-21</v>
          </cell>
          <cell r="C33">
            <v>2.84</v>
          </cell>
          <cell r="D33">
            <v>2.8</v>
          </cell>
          <cell r="E33">
            <v>2.56</v>
          </cell>
          <cell r="F33">
            <v>2.4900000000000002</v>
          </cell>
        </row>
        <row r="34">
          <cell r="A34">
            <v>31</v>
          </cell>
          <cell r="B34" t="str">
            <v>Л2209/415л 1/12-21</v>
          </cell>
          <cell r="C34">
            <v>2.91</v>
          </cell>
          <cell r="D34">
            <v>2.56</v>
          </cell>
          <cell r="E34">
            <v>2.89</v>
          </cell>
          <cell r="F34">
            <v>2.6</v>
          </cell>
        </row>
        <row r="35">
          <cell r="A35">
            <v>32</v>
          </cell>
          <cell r="B35" t="str">
            <v>Л2257/532м 1/1-22</v>
          </cell>
          <cell r="C35">
            <v>2.13</v>
          </cell>
          <cell r="D35">
            <v>2.85</v>
          </cell>
          <cell r="E35">
            <v>3.05</v>
          </cell>
          <cell r="F35">
            <v>2.8</v>
          </cell>
        </row>
        <row r="36">
          <cell r="A36">
            <v>33</v>
          </cell>
          <cell r="B36" t="str">
            <v xml:space="preserve">Л2276/385к 1/4-22 </v>
          </cell>
          <cell r="C36">
            <v>3.29</v>
          </cell>
          <cell r="D36">
            <v>3.31</v>
          </cell>
          <cell r="E36">
            <v>3.59</v>
          </cell>
          <cell r="F36">
            <v>3.15</v>
          </cell>
        </row>
        <row r="37">
          <cell r="A37">
            <v>34</v>
          </cell>
          <cell r="B37" t="str">
            <v>Л2287/384к 1/3-21</v>
          </cell>
          <cell r="C37">
            <v>2.5499999999999998</v>
          </cell>
          <cell r="D37">
            <v>2.65</v>
          </cell>
          <cell r="E37">
            <v>3.11</v>
          </cell>
          <cell r="F37">
            <v>2.94</v>
          </cell>
        </row>
        <row r="38">
          <cell r="A38">
            <v>35</v>
          </cell>
          <cell r="B38" t="str">
            <v>Л2015/684о 1/9-22</v>
          </cell>
          <cell r="C38">
            <v>2.5299999999999998</v>
          </cell>
          <cell r="D38">
            <v>2.5099999999999998</v>
          </cell>
          <cell r="E38">
            <v>2.68</v>
          </cell>
          <cell r="F38">
            <v>2.34</v>
          </cell>
        </row>
        <row r="39">
          <cell r="A39">
            <v>36</v>
          </cell>
          <cell r="B39" t="str">
            <v>Л2044/687о 2/7-22</v>
          </cell>
          <cell r="C39">
            <v>2.9</v>
          </cell>
          <cell r="D39">
            <v>3.39</v>
          </cell>
          <cell r="E39">
            <v>3.17</v>
          </cell>
          <cell r="F39">
            <v>3.27</v>
          </cell>
        </row>
        <row r="40">
          <cell r="A40">
            <v>37</v>
          </cell>
          <cell r="B40" t="str">
            <v>Л2275/385к 1/3-22</v>
          </cell>
          <cell r="C40">
            <v>3.07</v>
          </cell>
          <cell r="D40">
            <v>3.12</v>
          </cell>
          <cell r="E40">
            <v>3.41</v>
          </cell>
          <cell r="F40">
            <v>3.08</v>
          </cell>
        </row>
        <row r="41">
          <cell r="B41" t="str">
            <v>Среднее</v>
          </cell>
        </row>
        <row r="42">
          <cell r="B42" t="str">
            <v>НСР05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tabSelected="1" workbookViewId="0">
      <selection activeCell="D113" sqref="D113"/>
    </sheetView>
  </sheetViews>
  <sheetFormatPr defaultRowHeight="15" x14ac:dyDescent="0.25"/>
  <cols>
    <col min="1" max="1" width="7.28515625" bestFit="1" customWidth="1"/>
    <col min="2" max="2" width="12" bestFit="1" customWidth="1"/>
    <col min="3" max="3" width="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</v>
      </c>
      <c r="B2">
        <v>0.27841100000000002</v>
      </c>
      <c r="C2">
        <v>1</v>
      </c>
      <c r="D2" s="3">
        <v>1.9</v>
      </c>
    </row>
    <row r="3" spans="1:4" x14ac:dyDescent="0.25">
      <c r="A3">
        <v>2</v>
      </c>
      <c r="B3">
        <v>0.29265105203131619</v>
      </c>
      <c r="C3">
        <v>2</v>
      </c>
      <c r="D3" s="3">
        <v>2.2400000000000002</v>
      </c>
    </row>
    <row r="4" spans="1:4" x14ac:dyDescent="0.25">
      <c r="A4">
        <v>3</v>
      </c>
      <c r="B4">
        <v>0.33163400939415683</v>
      </c>
      <c r="C4">
        <v>3</v>
      </c>
      <c r="D4" s="3">
        <v>2.5</v>
      </c>
    </row>
    <row r="5" spans="1:4" x14ac:dyDescent="0.25">
      <c r="A5">
        <v>4</v>
      </c>
      <c r="B5">
        <v>0.32829582297164878</v>
      </c>
      <c r="C5">
        <v>4</v>
      </c>
      <c r="D5" s="3">
        <v>2.4500000000000002</v>
      </c>
    </row>
    <row r="6" spans="1:4" x14ac:dyDescent="0.25">
      <c r="A6">
        <v>5</v>
      </c>
      <c r="B6">
        <v>0.31383878604651821</v>
      </c>
      <c r="C6">
        <v>5</v>
      </c>
      <c r="D6" s="3">
        <v>2.76</v>
      </c>
    </row>
    <row r="7" spans="1:4" x14ac:dyDescent="0.25">
      <c r="A7">
        <v>6</v>
      </c>
      <c r="B7">
        <v>0.28459773766979579</v>
      </c>
      <c r="C7">
        <v>6</v>
      </c>
      <c r="D7" s="3">
        <v>2.4300000000000002</v>
      </c>
    </row>
    <row r="8" spans="1:4" x14ac:dyDescent="0.25">
      <c r="A8">
        <v>7</v>
      </c>
      <c r="B8">
        <v>0.31497067977674748</v>
      </c>
      <c r="C8">
        <v>7</v>
      </c>
      <c r="D8" s="3">
        <v>2.6</v>
      </c>
    </row>
    <row r="9" spans="1:4" x14ac:dyDescent="0.25">
      <c r="A9">
        <v>8</v>
      </c>
      <c r="B9">
        <v>0.30710077632581378</v>
      </c>
      <c r="C9">
        <v>8</v>
      </c>
      <c r="D9" s="3">
        <v>2.87</v>
      </c>
    </row>
    <row r="10" spans="1:4" x14ac:dyDescent="0.25">
      <c r="A10">
        <v>9</v>
      </c>
      <c r="B10">
        <v>0.3095787694979289</v>
      </c>
      <c r="C10">
        <v>9</v>
      </c>
      <c r="D10" s="3">
        <v>2.4900000000000002</v>
      </c>
    </row>
    <row r="11" spans="1:4" x14ac:dyDescent="0.25">
      <c r="A11">
        <v>10</v>
      </c>
      <c r="B11">
        <v>0.27333003256264449</v>
      </c>
      <c r="C11">
        <v>10</v>
      </c>
      <c r="D11" s="3">
        <v>2.92</v>
      </c>
    </row>
    <row r="12" spans="1:4" x14ac:dyDescent="0.25">
      <c r="A12">
        <v>11</v>
      </c>
      <c r="B12">
        <v>0.29705909277665932</v>
      </c>
      <c r="C12">
        <v>11</v>
      </c>
      <c r="D12" s="3">
        <v>2.29</v>
      </c>
    </row>
    <row r="13" spans="1:4" x14ac:dyDescent="0.25">
      <c r="A13">
        <v>12</v>
      </c>
      <c r="B13">
        <v>0.31755380944923439</v>
      </c>
      <c r="C13">
        <v>12</v>
      </c>
      <c r="D13" s="3">
        <v>3.21</v>
      </c>
    </row>
    <row r="14" spans="1:4" x14ac:dyDescent="0.25">
      <c r="A14">
        <v>13</v>
      </c>
      <c r="B14">
        <v>0.29854799941475468</v>
      </c>
      <c r="C14">
        <v>13</v>
      </c>
      <c r="D14" s="3">
        <v>2.12</v>
      </c>
    </row>
    <row r="15" spans="1:4" x14ac:dyDescent="0.25">
      <c r="A15">
        <v>14</v>
      </c>
      <c r="B15">
        <v>0.30240935802693297</v>
      </c>
      <c r="C15">
        <v>14</v>
      </c>
      <c r="D15" s="3">
        <v>2.79</v>
      </c>
    </row>
    <row r="16" spans="1:4" x14ac:dyDescent="0.25">
      <c r="A16">
        <v>15</v>
      </c>
      <c r="B16">
        <v>0.32325194038893001</v>
      </c>
      <c r="C16">
        <v>15</v>
      </c>
      <c r="D16" s="3">
        <v>2.79</v>
      </c>
    </row>
    <row r="17" spans="1:4" x14ac:dyDescent="0.25">
      <c r="A17">
        <v>16</v>
      </c>
      <c r="B17">
        <v>0.31250324298910898</v>
      </c>
      <c r="C17">
        <v>16</v>
      </c>
      <c r="D17" s="3">
        <v>2.65</v>
      </c>
    </row>
    <row r="18" spans="1:4" x14ac:dyDescent="0.25">
      <c r="A18">
        <v>17</v>
      </c>
      <c r="B18">
        <v>0.31221801352019779</v>
      </c>
      <c r="C18">
        <v>17</v>
      </c>
      <c r="D18" s="3">
        <v>2.94</v>
      </c>
    </row>
    <row r="19" spans="1:4" x14ac:dyDescent="0.25">
      <c r="A19">
        <v>18</v>
      </c>
      <c r="B19">
        <v>0.33404746910469041</v>
      </c>
      <c r="C19">
        <v>18</v>
      </c>
      <c r="D19" s="3">
        <v>2.98</v>
      </c>
    </row>
    <row r="20" spans="1:4" x14ac:dyDescent="0.25">
      <c r="A20">
        <v>19</v>
      </c>
      <c r="B20">
        <v>0.32921553222930278</v>
      </c>
      <c r="C20">
        <v>19</v>
      </c>
      <c r="D20" s="3">
        <v>2.5099999999999998</v>
      </c>
    </row>
    <row r="21" spans="1:4" x14ac:dyDescent="0.25">
      <c r="A21">
        <v>20</v>
      </c>
      <c r="B21">
        <v>0.3146443968328852</v>
      </c>
      <c r="C21">
        <v>20</v>
      </c>
      <c r="D21" s="3">
        <v>2.68</v>
      </c>
    </row>
    <row r="22" spans="1:4" x14ac:dyDescent="0.25">
      <c r="A22">
        <v>21</v>
      </c>
      <c r="B22">
        <v>0.29536419954135518</v>
      </c>
      <c r="C22">
        <v>21</v>
      </c>
      <c r="D22" s="3">
        <v>2.23</v>
      </c>
    </row>
    <row r="23" spans="1:4" x14ac:dyDescent="0.25">
      <c r="A23">
        <v>22</v>
      </c>
      <c r="B23">
        <v>0.27675265737352089</v>
      </c>
      <c r="C23">
        <v>22</v>
      </c>
      <c r="D23" s="3">
        <v>2.94</v>
      </c>
    </row>
    <row r="24" spans="1:4" x14ac:dyDescent="0.25">
      <c r="A24">
        <v>23</v>
      </c>
      <c r="B24">
        <v>0.30767579347685009</v>
      </c>
      <c r="C24">
        <v>23</v>
      </c>
      <c r="D24" s="3">
        <v>2.95</v>
      </c>
    </row>
    <row r="25" spans="1:4" x14ac:dyDescent="0.25">
      <c r="A25">
        <v>24</v>
      </c>
      <c r="B25">
        <v>0.30917217749836662</v>
      </c>
      <c r="C25">
        <v>24</v>
      </c>
      <c r="D25" s="3">
        <v>2.88</v>
      </c>
    </row>
    <row r="26" spans="1:4" x14ac:dyDescent="0.25">
      <c r="A26">
        <v>25</v>
      </c>
      <c r="B26">
        <v>0.34221009660994811</v>
      </c>
      <c r="C26">
        <v>25</v>
      </c>
      <c r="D26" s="3">
        <v>2.88</v>
      </c>
    </row>
    <row r="27" spans="1:4" x14ac:dyDescent="0.25">
      <c r="A27">
        <v>26</v>
      </c>
      <c r="B27">
        <v>0.32522535753083798</v>
      </c>
      <c r="C27">
        <v>26</v>
      </c>
      <c r="D27" s="3">
        <v>2.73</v>
      </c>
    </row>
    <row r="28" spans="1:4" x14ac:dyDescent="0.25">
      <c r="A28">
        <v>27</v>
      </c>
      <c r="B28">
        <v>0.30694881929964329</v>
      </c>
      <c r="C28">
        <v>27</v>
      </c>
      <c r="D28" s="3">
        <v>2.91</v>
      </c>
    </row>
    <row r="29" spans="1:4" x14ac:dyDescent="0.25">
      <c r="A29">
        <v>28</v>
      </c>
      <c r="B29">
        <v>0.30385277361474988</v>
      </c>
      <c r="C29">
        <v>28</v>
      </c>
      <c r="D29" s="3">
        <v>2.59</v>
      </c>
    </row>
    <row r="30" spans="1:4" x14ac:dyDescent="0.25">
      <c r="A30">
        <v>29</v>
      </c>
      <c r="B30">
        <v>0.31928489927991383</v>
      </c>
      <c r="C30">
        <v>29</v>
      </c>
      <c r="D30" s="3">
        <v>3.07</v>
      </c>
    </row>
    <row r="31" spans="1:4" x14ac:dyDescent="0.25">
      <c r="A31">
        <v>30</v>
      </c>
      <c r="B31">
        <v>0.34002754773186861</v>
      </c>
      <c r="C31">
        <v>30</v>
      </c>
      <c r="D31" s="3">
        <v>2.84</v>
      </c>
    </row>
    <row r="32" spans="1:4" x14ac:dyDescent="0.25">
      <c r="A32">
        <v>31</v>
      </c>
      <c r="B32">
        <v>0.34623164830800651</v>
      </c>
      <c r="C32">
        <v>31</v>
      </c>
      <c r="D32" s="3">
        <v>2.91</v>
      </c>
    </row>
    <row r="33" spans="1:4" x14ac:dyDescent="0.25">
      <c r="A33">
        <v>32</v>
      </c>
      <c r="B33">
        <v>0.28914600134127533</v>
      </c>
      <c r="C33">
        <v>32</v>
      </c>
      <c r="D33" s="3">
        <v>2.13</v>
      </c>
    </row>
    <row r="34" spans="1:4" x14ac:dyDescent="0.25">
      <c r="A34">
        <v>33</v>
      </c>
      <c r="B34">
        <v>0.29449677109320838</v>
      </c>
      <c r="C34">
        <v>33</v>
      </c>
      <c r="D34" s="3">
        <v>3.29</v>
      </c>
    </row>
    <row r="35" spans="1:4" x14ac:dyDescent="0.25">
      <c r="A35">
        <v>34</v>
      </c>
      <c r="B35">
        <v>0.32689707412864849</v>
      </c>
      <c r="C35">
        <v>34</v>
      </c>
      <c r="D35" s="3">
        <v>2.5499999999999998</v>
      </c>
    </row>
    <row r="36" spans="1:4" x14ac:dyDescent="0.25">
      <c r="A36">
        <v>35</v>
      </c>
      <c r="B36">
        <v>0.33300926870013181</v>
      </c>
      <c r="C36">
        <v>35</v>
      </c>
      <c r="D36" s="3">
        <v>2.5299999999999998</v>
      </c>
    </row>
    <row r="37" spans="1:4" x14ac:dyDescent="0.25">
      <c r="A37">
        <v>36</v>
      </c>
      <c r="B37">
        <v>0.33997101603374019</v>
      </c>
      <c r="C37">
        <v>36</v>
      </c>
      <c r="D37" s="3">
        <v>2.9</v>
      </c>
    </row>
    <row r="38" spans="1:4" x14ac:dyDescent="0.25">
      <c r="A38">
        <v>37</v>
      </c>
      <c r="B38">
        <v>0.32059722495245629</v>
      </c>
      <c r="C38">
        <v>37</v>
      </c>
      <c r="D38" s="3">
        <v>3.07</v>
      </c>
    </row>
    <row r="39" spans="1:4" x14ac:dyDescent="0.25">
      <c r="A39">
        <v>38</v>
      </c>
      <c r="B39">
        <v>0.29143464083589649</v>
      </c>
      <c r="C39">
        <v>27</v>
      </c>
      <c r="D39">
        <f>VLOOKUP($C39, '[1]2024'!$A:$F, 4, 0)</f>
        <v>2.9</v>
      </c>
    </row>
    <row r="40" spans="1:4" x14ac:dyDescent="0.25">
      <c r="A40">
        <v>39</v>
      </c>
      <c r="B40">
        <v>0.30941151709483661</v>
      </c>
      <c r="C40">
        <v>26</v>
      </c>
      <c r="D40">
        <f>VLOOKUP($C40, '[1]2024'!$A:$F, 4, 0)</f>
        <v>3.05</v>
      </c>
    </row>
    <row r="41" spans="1:4" x14ac:dyDescent="0.25">
      <c r="A41">
        <v>40</v>
      </c>
      <c r="B41">
        <v>0.3103480444960135</v>
      </c>
      <c r="C41">
        <v>25</v>
      </c>
      <c r="D41">
        <f>VLOOKUP($C41, '[1]2024'!$A:$F, 4, 0)</f>
        <v>2.75</v>
      </c>
    </row>
    <row r="42" spans="1:4" x14ac:dyDescent="0.25">
      <c r="A42">
        <v>41</v>
      </c>
      <c r="B42">
        <v>0.30666666041458202</v>
      </c>
      <c r="C42">
        <v>37</v>
      </c>
      <c r="D42">
        <f>VLOOKUP($C42, '[1]2024'!$A:$F, 4, 0)</f>
        <v>3.12</v>
      </c>
    </row>
    <row r="43" spans="1:4" x14ac:dyDescent="0.25">
      <c r="A43">
        <v>42</v>
      </c>
      <c r="B43">
        <v>0.3188686036288072</v>
      </c>
      <c r="C43">
        <v>36</v>
      </c>
      <c r="D43">
        <f>VLOOKUP($C43, '[1]2024'!$A:$F, 4, 0)</f>
        <v>3.39</v>
      </c>
    </row>
    <row r="44" spans="1:4" x14ac:dyDescent="0.25">
      <c r="A44">
        <v>43</v>
      </c>
      <c r="B44">
        <v>0.29455763650877997</v>
      </c>
      <c r="C44">
        <v>35</v>
      </c>
      <c r="D44">
        <f>VLOOKUP($C44, '[1]2024'!$A:$F, 4, 0)</f>
        <v>2.5099999999999998</v>
      </c>
    </row>
    <row r="45" spans="1:4" x14ac:dyDescent="0.25">
      <c r="A45">
        <v>44</v>
      </c>
      <c r="B45">
        <v>0.2928468179209554</v>
      </c>
      <c r="C45">
        <v>34</v>
      </c>
      <c r="D45">
        <f>VLOOKUP($C45, '[1]2024'!$A:$F, 4, 0)</f>
        <v>2.65</v>
      </c>
    </row>
    <row r="46" spans="1:4" x14ac:dyDescent="0.25">
      <c r="A46">
        <v>45</v>
      </c>
      <c r="B46">
        <v>0.26553720980016349</v>
      </c>
      <c r="C46">
        <v>33</v>
      </c>
      <c r="D46">
        <f>VLOOKUP($C46, '[1]2024'!$A:$F, 4, 0)</f>
        <v>3.31</v>
      </c>
    </row>
    <row r="47" spans="1:4" x14ac:dyDescent="0.25">
      <c r="A47">
        <v>46</v>
      </c>
      <c r="B47">
        <v>0.24374059665059711</v>
      </c>
      <c r="C47">
        <v>32</v>
      </c>
      <c r="D47">
        <f>VLOOKUP($C47, '[1]2024'!$A:$F, 4, 0)</f>
        <v>2.85</v>
      </c>
    </row>
    <row r="48" spans="1:4" x14ac:dyDescent="0.25">
      <c r="A48">
        <v>47</v>
      </c>
      <c r="B48">
        <v>0.2856037746683967</v>
      </c>
      <c r="C48">
        <v>31</v>
      </c>
      <c r="D48">
        <f>VLOOKUP($C48, '[1]2024'!$A:$F, 4, 0)</f>
        <v>2.56</v>
      </c>
    </row>
    <row r="49" spans="1:4" x14ac:dyDescent="0.25">
      <c r="A49">
        <v>48</v>
      </c>
      <c r="B49">
        <v>0.27593977586084201</v>
      </c>
      <c r="C49">
        <v>30</v>
      </c>
      <c r="D49">
        <f>VLOOKUP($C49, '[1]2024'!$A:$F, 4, 0)</f>
        <v>2.8</v>
      </c>
    </row>
    <row r="50" spans="1:4" x14ac:dyDescent="0.25">
      <c r="A50">
        <v>49</v>
      </c>
      <c r="B50">
        <v>0.29309683035314749</v>
      </c>
      <c r="C50">
        <v>29</v>
      </c>
      <c r="D50">
        <f>VLOOKUP($C50, '[1]2024'!$A:$F, 4, 0)</f>
        <v>2.89</v>
      </c>
    </row>
    <row r="51" spans="1:4" x14ac:dyDescent="0.25">
      <c r="A51">
        <v>50</v>
      </c>
      <c r="B51">
        <v>0.27942760251095461</v>
      </c>
      <c r="C51">
        <v>28</v>
      </c>
      <c r="D51">
        <f>VLOOKUP($C51, '[1]2024'!$A:$F, 4, 0)</f>
        <v>2.66</v>
      </c>
    </row>
    <row r="52" spans="1:4" x14ac:dyDescent="0.25">
      <c r="A52">
        <v>51</v>
      </c>
      <c r="B52">
        <v>0.28347726311063531</v>
      </c>
      <c r="C52">
        <v>5</v>
      </c>
      <c r="D52">
        <f>VLOOKUP($C52, '[1]2024'!$A:$F, 4, 0)</f>
        <v>2.5499999999999998</v>
      </c>
    </row>
    <row r="53" spans="1:4" x14ac:dyDescent="0.25">
      <c r="A53">
        <v>52</v>
      </c>
      <c r="B53">
        <v>0.29778691099624999</v>
      </c>
      <c r="C53">
        <v>4</v>
      </c>
      <c r="D53">
        <f>VLOOKUP($C53, '[1]2024'!$A:$F, 4, 0)</f>
        <v>2.8</v>
      </c>
    </row>
    <row r="54" spans="1:4" x14ac:dyDescent="0.25">
      <c r="A54">
        <v>53</v>
      </c>
      <c r="B54">
        <v>0.28528790940079618</v>
      </c>
      <c r="C54">
        <v>3</v>
      </c>
      <c r="D54">
        <f>VLOOKUP($C54, '[1]2024'!$A:$F, 4, 0)</f>
        <v>2.34</v>
      </c>
    </row>
    <row r="55" spans="1:4" x14ac:dyDescent="0.25">
      <c r="A55">
        <v>54</v>
      </c>
      <c r="B55">
        <v>0.25315999454246563</v>
      </c>
      <c r="C55">
        <v>2</v>
      </c>
      <c r="D55">
        <f>VLOOKUP($C55, '[1]2024'!$A:$F, 4, 0)</f>
        <v>2.56</v>
      </c>
    </row>
    <row r="56" spans="1:4" x14ac:dyDescent="0.25">
      <c r="A56">
        <v>55</v>
      </c>
      <c r="B56">
        <v>0.28024874648060683</v>
      </c>
      <c r="C56">
        <v>1</v>
      </c>
      <c r="D56">
        <f>VLOOKUP($C56, '[1]2024'!$A:$F, 4, 0)</f>
        <v>2.8</v>
      </c>
    </row>
    <row r="57" spans="1:4" x14ac:dyDescent="0.25">
      <c r="A57">
        <v>56</v>
      </c>
      <c r="B57">
        <v>0.2891104098911223</v>
      </c>
      <c r="C57">
        <v>24</v>
      </c>
      <c r="D57">
        <f>VLOOKUP($C57, '[1]2024'!$A:$F, 4, 0)</f>
        <v>3.12</v>
      </c>
    </row>
    <row r="58" spans="1:4" x14ac:dyDescent="0.25">
      <c r="A58">
        <v>57</v>
      </c>
      <c r="B58">
        <v>0.29585530747393002</v>
      </c>
      <c r="C58">
        <v>23</v>
      </c>
      <c r="D58">
        <f>VLOOKUP($C58, '[1]2024'!$A:$F, 4, 0)</f>
        <v>2.95</v>
      </c>
    </row>
    <row r="59" spans="1:4" x14ac:dyDescent="0.25">
      <c r="A59">
        <v>58</v>
      </c>
      <c r="B59">
        <v>0.30427598779148229</v>
      </c>
      <c r="C59">
        <v>22</v>
      </c>
      <c r="D59">
        <f>VLOOKUP($C59, '[1]2024'!$A:$F, 4, 0)</f>
        <v>3.57</v>
      </c>
    </row>
    <row r="60" spans="1:4" x14ac:dyDescent="0.25">
      <c r="A60">
        <v>59</v>
      </c>
      <c r="B60">
        <v>0.29766171275567349</v>
      </c>
      <c r="C60">
        <v>21</v>
      </c>
      <c r="D60">
        <f>VLOOKUP($C60, '[1]2024'!$A:$F, 4, 0)</f>
        <v>2.42</v>
      </c>
    </row>
    <row r="61" spans="1:4" x14ac:dyDescent="0.25">
      <c r="A61">
        <v>60</v>
      </c>
      <c r="B61">
        <v>0.27358438598948648</v>
      </c>
      <c r="C61">
        <v>20</v>
      </c>
      <c r="D61">
        <f>VLOOKUP($C61, '[1]2024'!$A:$F, 4, 0)</f>
        <v>2.75</v>
      </c>
    </row>
    <row r="62" spans="1:4" x14ac:dyDescent="0.25">
      <c r="A62">
        <v>61</v>
      </c>
      <c r="B62">
        <v>0.32226677793058028</v>
      </c>
      <c r="C62">
        <v>19</v>
      </c>
      <c r="D62">
        <f>VLOOKUP($C62, '[1]2024'!$A:$F, 4, 0)</f>
        <v>2.5099999999999998</v>
      </c>
    </row>
    <row r="63" spans="1:4" x14ac:dyDescent="0.25">
      <c r="A63">
        <v>62</v>
      </c>
      <c r="B63">
        <v>0.31703017546200968</v>
      </c>
      <c r="C63">
        <v>18</v>
      </c>
      <c r="D63">
        <f>VLOOKUP($C63, '[1]2024'!$A:$F, 4, 0)</f>
        <v>3.57</v>
      </c>
    </row>
    <row r="64" spans="1:4" x14ac:dyDescent="0.25">
      <c r="A64">
        <v>63</v>
      </c>
      <c r="B64">
        <v>0.2939704526653637</v>
      </c>
      <c r="C64">
        <v>17</v>
      </c>
      <c r="D64">
        <f>VLOOKUP($C64, '[1]2024'!$A:$F, 4, 0)</f>
        <v>3.15</v>
      </c>
    </row>
    <row r="65" spans="1:4" x14ac:dyDescent="0.25">
      <c r="A65">
        <v>64</v>
      </c>
      <c r="B65">
        <v>0.27635952467141978</v>
      </c>
      <c r="C65">
        <v>16</v>
      </c>
      <c r="D65">
        <f>VLOOKUP($C65, '[1]2024'!$A:$F, 4, 0)</f>
        <v>3.21</v>
      </c>
    </row>
    <row r="66" spans="1:4" x14ac:dyDescent="0.25">
      <c r="A66">
        <v>65</v>
      </c>
      <c r="B66">
        <v>0.29557444004551758</v>
      </c>
      <c r="C66">
        <v>15</v>
      </c>
      <c r="D66">
        <f>VLOOKUP($C66, '[1]2024'!$A:$F, 4, 0)</f>
        <v>3.36</v>
      </c>
    </row>
    <row r="67" spans="1:4" x14ac:dyDescent="0.25">
      <c r="A67">
        <v>66</v>
      </c>
      <c r="B67">
        <v>0.28117995999069939</v>
      </c>
      <c r="C67">
        <v>14</v>
      </c>
      <c r="D67">
        <f>VLOOKUP($C67, '[1]2024'!$A:$F, 4, 0)</f>
        <v>3.54</v>
      </c>
    </row>
    <row r="68" spans="1:4" x14ac:dyDescent="0.25">
      <c r="A68">
        <v>67</v>
      </c>
      <c r="B68">
        <v>0.2467901197706375</v>
      </c>
      <c r="C68">
        <v>13</v>
      </c>
      <c r="D68">
        <f>VLOOKUP($C68, '[1]2024'!$A:$F, 4, 0)</f>
        <v>2.72</v>
      </c>
    </row>
    <row r="69" spans="1:4" x14ac:dyDescent="0.25">
      <c r="A69">
        <v>68</v>
      </c>
      <c r="B69">
        <v>0.27322719090309899</v>
      </c>
      <c r="C69">
        <v>12</v>
      </c>
      <c r="D69">
        <f>VLOOKUP($C69, '[1]2024'!$A:$F, 4, 0)</f>
        <v>3.52</v>
      </c>
    </row>
    <row r="70" spans="1:4" x14ac:dyDescent="0.25">
      <c r="A70">
        <v>69</v>
      </c>
      <c r="B70">
        <v>0.26523570774730859</v>
      </c>
      <c r="C70">
        <v>11</v>
      </c>
      <c r="D70">
        <f>VLOOKUP($C70, '[1]2024'!$A:$F, 4, 0)</f>
        <v>2.88</v>
      </c>
    </row>
    <row r="71" spans="1:4" x14ac:dyDescent="0.25">
      <c r="A71">
        <v>70</v>
      </c>
      <c r="B71">
        <v>0.208606819538695</v>
      </c>
      <c r="C71">
        <v>10</v>
      </c>
      <c r="D71">
        <f>VLOOKUP($C71, '[1]2024'!$A:$F, 4, 0)</f>
        <v>2.7</v>
      </c>
    </row>
    <row r="72" spans="1:4" x14ac:dyDescent="0.25">
      <c r="A72">
        <v>71</v>
      </c>
      <c r="B72">
        <v>0.25588809120830741</v>
      </c>
      <c r="C72">
        <v>9</v>
      </c>
      <c r="D72">
        <f>VLOOKUP($C72, '[1]2024'!$A:$F, 4, 0)</f>
        <v>2.59</v>
      </c>
    </row>
    <row r="73" spans="1:4" x14ac:dyDescent="0.25">
      <c r="A73">
        <v>72</v>
      </c>
      <c r="B73">
        <v>0.27531315987379679</v>
      </c>
      <c r="C73">
        <v>8</v>
      </c>
      <c r="D73">
        <f>VLOOKUP($C73, '[1]2024'!$A:$F, 4, 0)</f>
        <v>3.34</v>
      </c>
    </row>
    <row r="74" spans="1:4" x14ac:dyDescent="0.25">
      <c r="A74">
        <v>73</v>
      </c>
      <c r="B74">
        <v>0.28968707212017669</v>
      </c>
      <c r="C74">
        <v>7</v>
      </c>
      <c r="D74">
        <f>VLOOKUP($C74, '[1]2024'!$A:$F, 4, 0)</f>
        <v>3.19</v>
      </c>
    </row>
    <row r="75" spans="1:4" x14ac:dyDescent="0.25">
      <c r="A75">
        <v>74</v>
      </c>
      <c r="B75">
        <v>0.24933671445955569</v>
      </c>
      <c r="C75">
        <v>6</v>
      </c>
      <c r="D75">
        <f>VLOOKUP($C75, '[1]2024'!$A:$F, 4, 0)</f>
        <v>2.89</v>
      </c>
    </row>
    <row r="76" spans="1:4" x14ac:dyDescent="0.25">
      <c r="A76">
        <v>75</v>
      </c>
      <c r="B76">
        <v>0.27820589486025737</v>
      </c>
      <c r="C76">
        <v>12</v>
      </c>
      <c r="D76">
        <f>VLOOKUP($C76, '[1]2024'!$A:$F, 5, 0)</f>
        <v>3.17</v>
      </c>
    </row>
    <row r="77" spans="1:4" x14ac:dyDescent="0.25">
      <c r="A77">
        <v>76</v>
      </c>
      <c r="B77">
        <v>0.25764347239907431</v>
      </c>
      <c r="C77">
        <v>13</v>
      </c>
      <c r="D77">
        <f>VLOOKUP($C77, '[1]2024'!$A:$F, 5, 0)</f>
        <v>2.4500000000000002</v>
      </c>
    </row>
    <row r="78" spans="1:4" x14ac:dyDescent="0.25">
      <c r="A78">
        <v>77</v>
      </c>
      <c r="B78">
        <v>0.27736214074381432</v>
      </c>
      <c r="C78">
        <v>14</v>
      </c>
      <c r="D78">
        <f>VLOOKUP($C78, '[1]2024'!$A:$F, 5, 0)</f>
        <v>3.14</v>
      </c>
    </row>
    <row r="79" spans="1:4" x14ac:dyDescent="0.25">
      <c r="A79">
        <v>78</v>
      </c>
      <c r="B79">
        <v>0.29607696982356191</v>
      </c>
      <c r="C79">
        <v>15</v>
      </c>
      <c r="D79">
        <f>VLOOKUP($C79, '[1]2024'!$A:$F, 5, 0)</f>
        <v>3.16</v>
      </c>
    </row>
    <row r="80" spans="1:4" x14ac:dyDescent="0.25">
      <c r="A80">
        <v>79</v>
      </c>
      <c r="B80">
        <v>0.28184748169876428</v>
      </c>
      <c r="C80">
        <v>16</v>
      </c>
      <c r="D80">
        <f>VLOOKUP($C80, '[1]2024'!$A:$F, 5, 0)</f>
        <v>2.5499999999999998</v>
      </c>
    </row>
    <row r="81" spans="1:4" x14ac:dyDescent="0.25">
      <c r="A81">
        <v>80</v>
      </c>
      <c r="B81">
        <v>0.27706041937001402</v>
      </c>
      <c r="C81">
        <v>17</v>
      </c>
      <c r="D81">
        <f>VLOOKUP($C81, '[1]2024'!$A:$F, 5, 0)</f>
        <v>2.72</v>
      </c>
    </row>
    <row r="82" spans="1:4" x14ac:dyDescent="0.25">
      <c r="A82">
        <v>81</v>
      </c>
      <c r="B82">
        <v>0.31048294798159892</v>
      </c>
      <c r="C82">
        <v>18</v>
      </c>
      <c r="D82">
        <f>VLOOKUP($C82, '[1]2024'!$A:$F, 5, 0)</f>
        <v>3.18</v>
      </c>
    </row>
    <row r="83" spans="1:4" x14ac:dyDescent="0.25">
      <c r="A83">
        <v>82</v>
      </c>
      <c r="B83">
        <v>0.3220900229437757</v>
      </c>
      <c r="C83">
        <v>19</v>
      </c>
      <c r="D83">
        <f>VLOOKUP($C83, '[1]2024'!$A:$F, 5, 0)</f>
        <v>2.62</v>
      </c>
    </row>
    <row r="84" spans="1:4" x14ac:dyDescent="0.25">
      <c r="A84">
        <v>83</v>
      </c>
      <c r="B84">
        <v>0.28943741990630167</v>
      </c>
      <c r="C84">
        <v>20</v>
      </c>
      <c r="D84">
        <f>VLOOKUP($C84, '[1]2024'!$A:$F, 5, 0)</f>
        <v>3.13</v>
      </c>
    </row>
    <row r="85" spans="1:4" x14ac:dyDescent="0.25">
      <c r="A85">
        <v>84</v>
      </c>
      <c r="B85">
        <v>0.2907221014210612</v>
      </c>
      <c r="C85">
        <v>21</v>
      </c>
      <c r="D85">
        <f>VLOOKUP($C85, '[1]2024'!$A:$F, 5, 0)</f>
        <v>2.4300000000000002</v>
      </c>
    </row>
    <row r="86" spans="1:4" x14ac:dyDescent="0.25">
      <c r="A86">
        <v>85</v>
      </c>
      <c r="B86">
        <v>0.2922492105985241</v>
      </c>
      <c r="C86">
        <v>22</v>
      </c>
      <c r="D86">
        <f>VLOOKUP($C86, '[1]2024'!$A:$F, 5, 0)</f>
        <v>3.39</v>
      </c>
    </row>
    <row r="87" spans="1:4" x14ac:dyDescent="0.25">
      <c r="A87">
        <v>86</v>
      </c>
      <c r="B87">
        <v>0.28882612619334191</v>
      </c>
      <c r="C87">
        <v>23</v>
      </c>
      <c r="D87">
        <f>VLOOKUP($C87, '[1]2024'!$A:$F, 5, 0)</f>
        <v>3.07</v>
      </c>
    </row>
    <row r="88" spans="1:4" x14ac:dyDescent="0.25">
      <c r="A88">
        <v>87</v>
      </c>
      <c r="B88">
        <v>0.29717270266663032</v>
      </c>
      <c r="C88">
        <v>24</v>
      </c>
      <c r="D88">
        <f>VLOOKUP($C88, '[1]2024'!$A:$F, 5, 0)</f>
        <v>3.13</v>
      </c>
    </row>
    <row r="89" spans="1:4" x14ac:dyDescent="0.25">
      <c r="A89">
        <v>88</v>
      </c>
      <c r="B89">
        <v>0.285994022788504</v>
      </c>
      <c r="C89">
        <v>1</v>
      </c>
      <c r="D89">
        <f>VLOOKUP($C89, '[1]2024'!$A:$F, 5, 0)</f>
        <v>2.93</v>
      </c>
    </row>
    <row r="90" spans="1:4" x14ac:dyDescent="0.25">
      <c r="A90">
        <v>89</v>
      </c>
      <c r="B90">
        <v>0.27569060209048041</v>
      </c>
      <c r="C90">
        <v>2</v>
      </c>
      <c r="D90">
        <f>VLOOKUP($C90, '[1]2024'!$A:$F, 5, 0)</f>
        <v>2.92</v>
      </c>
    </row>
    <row r="91" spans="1:4" x14ac:dyDescent="0.25">
      <c r="A91">
        <v>90</v>
      </c>
      <c r="B91">
        <v>0.32199886271484518</v>
      </c>
      <c r="C91">
        <v>3</v>
      </c>
      <c r="D91">
        <f>VLOOKUP($C91, '[1]2024'!$A:$F, 5, 0)</f>
        <v>2.82</v>
      </c>
    </row>
    <row r="92" spans="1:4" x14ac:dyDescent="0.25">
      <c r="A92">
        <v>91</v>
      </c>
      <c r="B92">
        <v>0.33252762802486208</v>
      </c>
      <c r="C92">
        <v>4</v>
      </c>
      <c r="D92">
        <f>VLOOKUP($C92, '[1]2024'!$A:$F, 5, 0)</f>
        <v>3.43</v>
      </c>
    </row>
    <row r="93" spans="1:4" x14ac:dyDescent="0.25">
      <c r="A93">
        <v>92</v>
      </c>
      <c r="B93">
        <v>0.31598529301214662</v>
      </c>
      <c r="C93">
        <v>5</v>
      </c>
      <c r="D93">
        <f>VLOOKUP($C93, '[1]2024'!$A:$F, 5, 0)</f>
        <v>3.13</v>
      </c>
    </row>
    <row r="94" spans="1:4" x14ac:dyDescent="0.25">
      <c r="A94">
        <v>93</v>
      </c>
      <c r="B94">
        <v>0.28660075739649737</v>
      </c>
      <c r="C94">
        <v>6</v>
      </c>
      <c r="D94">
        <f>VLOOKUP($C94, '[1]2024'!$A:$F, 5, 0)</f>
        <v>3.19</v>
      </c>
    </row>
    <row r="95" spans="1:4" x14ac:dyDescent="0.25">
      <c r="A95">
        <v>94</v>
      </c>
      <c r="B95">
        <v>0.3045259976271335</v>
      </c>
      <c r="C95">
        <v>7</v>
      </c>
      <c r="D95">
        <f>VLOOKUP($C95, '[1]2024'!$A:$F, 5, 0)</f>
        <v>2.96</v>
      </c>
    </row>
    <row r="96" spans="1:4" x14ac:dyDescent="0.25">
      <c r="A96">
        <v>95</v>
      </c>
      <c r="B96">
        <v>0.28863070619560299</v>
      </c>
      <c r="C96">
        <v>8</v>
      </c>
      <c r="D96">
        <f>VLOOKUP($C96, '[1]2024'!$A:$F, 5, 0)</f>
        <v>3.09</v>
      </c>
    </row>
    <row r="97" spans="1:4" x14ac:dyDescent="0.25">
      <c r="A97">
        <v>96</v>
      </c>
      <c r="B97">
        <v>0.27707657578473438</v>
      </c>
      <c r="C97">
        <v>9</v>
      </c>
      <c r="D97">
        <f>VLOOKUP($C97, '[1]2024'!$A:$F, 5, 0)</f>
        <v>2.64</v>
      </c>
    </row>
    <row r="98" spans="1:4" x14ac:dyDescent="0.25">
      <c r="A98">
        <v>97</v>
      </c>
      <c r="B98">
        <v>0.26843946777087441</v>
      </c>
      <c r="C98">
        <v>10</v>
      </c>
      <c r="D98">
        <f>VLOOKUP($C98, '[1]2024'!$A:$F, 5, 0)</f>
        <v>3.01</v>
      </c>
    </row>
    <row r="99" spans="1:4" x14ac:dyDescent="0.25">
      <c r="A99">
        <v>98</v>
      </c>
      <c r="B99">
        <v>0.3026473738397536</v>
      </c>
      <c r="C99">
        <v>11</v>
      </c>
      <c r="D99">
        <f>VLOOKUP($C99, '[1]2024'!$A:$F, 5, 0)</f>
        <v>2.71</v>
      </c>
    </row>
    <row r="100" spans="1:4" x14ac:dyDescent="0.25">
      <c r="A100">
        <v>99</v>
      </c>
      <c r="B100">
        <v>0.3234263597534166</v>
      </c>
      <c r="C100">
        <v>31</v>
      </c>
      <c r="D100">
        <f>VLOOKUP($C100, '[1]2024'!$A:$F, 5, 0)</f>
        <v>2.89</v>
      </c>
    </row>
    <row r="101" spans="1:4" x14ac:dyDescent="0.25">
      <c r="A101">
        <v>100</v>
      </c>
      <c r="B101">
        <v>0.26790279391463512</v>
      </c>
      <c r="C101">
        <v>32</v>
      </c>
      <c r="D101">
        <f>VLOOKUP($C101, '[1]2024'!$A:$F, 5, 0)</f>
        <v>3.05</v>
      </c>
    </row>
    <row r="102" spans="1:4" x14ac:dyDescent="0.25">
      <c r="A102">
        <v>101</v>
      </c>
      <c r="B102">
        <v>0.26849477118651538</v>
      </c>
      <c r="C102">
        <v>33</v>
      </c>
      <c r="D102">
        <f>VLOOKUP($C102, '[1]2024'!$A:$F, 5, 0)</f>
        <v>3.59</v>
      </c>
    </row>
    <row r="103" spans="1:4" x14ac:dyDescent="0.25">
      <c r="A103">
        <v>102</v>
      </c>
      <c r="B103">
        <v>0.28364616129684039</v>
      </c>
      <c r="C103">
        <v>34</v>
      </c>
      <c r="D103">
        <f>VLOOKUP($C103, '[1]2024'!$A:$F, 5, 0)</f>
        <v>3.11</v>
      </c>
    </row>
    <row r="104" spans="1:4" x14ac:dyDescent="0.25">
      <c r="A104">
        <v>103</v>
      </c>
      <c r="B104">
        <v>0.29725192633558828</v>
      </c>
      <c r="C104">
        <v>35</v>
      </c>
      <c r="D104">
        <f>VLOOKUP($C104, '[1]2024'!$A:$F, 5, 0)</f>
        <v>2.68</v>
      </c>
    </row>
    <row r="105" spans="1:4" x14ac:dyDescent="0.25">
      <c r="A105">
        <v>104</v>
      </c>
      <c r="B105">
        <v>0.27987144978828749</v>
      </c>
      <c r="C105">
        <v>36</v>
      </c>
      <c r="D105">
        <f>VLOOKUP($C105, '[1]2024'!$A:$F, 5, 0)</f>
        <v>3.17</v>
      </c>
    </row>
    <row r="106" spans="1:4" x14ac:dyDescent="0.25">
      <c r="A106">
        <v>105</v>
      </c>
      <c r="B106">
        <v>0.2985948487159677</v>
      </c>
      <c r="C106">
        <v>37</v>
      </c>
      <c r="D106">
        <f>VLOOKUP($C106, '[1]2024'!$A:$F, 5, 0)</f>
        <v>3.41</v>
      </c>
    </row>
    <row r="107" spans="1:4" x14ac:dyDescent="0.25">
      <c r="A107">
        <v>106</v>
      </c>
      <c r="B107">
        <v>0.30595199800705353</v>
      </c>
      <c r="C107">
        <v>25</v>
      </c>
      <c r="D107">
        <f>VLOOKUP($C107, '[1]2024'!$A:$F, 5, 0)</f>
        <v>2.81</v>
      </c>
    </row>
    <row r="108" spans="1:4" x14ac:dyDescent="0.25">
      <c r="A108">
        <v>107</v>
      </c>
      <c r="B108">
        <v>0.31518012795401951</v>
      </c>
      <c r="C108">
        <v>26</v>
      </c>
      <c r="D108">
        <f>VLOOKUP($C108, '[1]2024'!$A:$F, 5, 0)</f>
        <v>3.39</v>
      </c>
    </row>
    <row r="109" spans="1:4" x14ac:dyDescent="0.25">
      <c r="A109">
        <v>108</v>
      </c>
      <c r="B109">
        <v>0.2366632374083657</v>
      </c>
      <c r="C109">
        <v>27</v>
      </c>
      <c r="D109">
        <f>VLOOKUP($C109, '[1]2024'!$A:$F, 5, 0)</f>
        <v>2.38</v>
      </c>
    </row>
    <row r="110" spans="1:4" x14ac:dyDescent="0.25">
      <c r="A110">
        <v>109</v>
      </c>
      <c r="B110">
        <v>0.31945376258462571</v>
      </c>
      <c r="C110">
        <v>28</v>
      </c>
      <c r="D110">
        <f>VLOOKUP($C110, '[1]2024'!$A:$F, 5, 0)</f>
        <v>3.66</v>
      </c>
    </row>
    <row r="111" spans="1:4" x14ac:dyDescent="0.25">
      <c r="A111">
        <v>110</v>
      </c>
      <c r="B111">
        <v>0.31112979401927698</v>
      </c>
      <c r="C111">
        <v>29</v>
      </c>
      <c r="D111">
        <f>VLOOKUP($C111, '[1]2024'!$A:$F, 5, 0)</f>
        <v>3.28</v>
      </c>
    </row>
    <row r="112" spans="1:4" x14ac:dyDescent="0.25">
      <c r="A112">
        <v>111</v>
      </c>
      <c r="B112">
        <v>0.31419804493447512</v>
      </c>
      <c r="C112">
        <v>30</v>
      </c>
      <c r="D112">
        <f>VLOOKUP($C112, '[1]2024'!$A:$F, 5, 0)</f>
        <v>2.56</v>
      </c>
    </row>
    <row r="113" spans="1:4" x14ac:dyDescent="0.25">
      <c r="A113">
        <v>112</v>
      </c>
      <c r="B113">
        <v>0.2482160167595216</v>
      </c>
      <c r="C113">
        <v>33</v>
      </c>
      <c r="D113">
        <f>VLOOKUP($C113, '[1]2024'!$A:$F, 6, 0)</f>
        <v>3.15</v>
      </c>
    </row>
    <row r="114" spans="1:4" x14ac:dyDescent="0.25">
      <c r="A114">
        <v>113</v>
      </c>
      <c r="B114">
        <v>0.24430471298481179</v>
      </c>
      <c r="C114">
        <v>32</v>
      </c>
      <c r="D114">
        <f>VLOOKUP($C114, '[1]2024'!$A:$F, 6, 0)</f>
        <v>2.8</v>
      </c>
    </row>
    <row r="115" spans="1:4" x14ac:dyDescent="0.25">
      <c r="A115">
        <v>114</v>
      </c>
      <c r="B115">
        <v>0.28674905763963049</v>
      </c>
      <c r="C115">
        <v>31</v>
      </c>
      <c r="D115">
        <f>VLOOKUP($C115, '[1]2024'!$A:$F, 6, 0)</f>
        <v>2.6</v>
      </c>
    </row>
    <row r="116" spans="1:4" x14ac:dyDescent="0.25">
      <c r="A116">
        <v>115</v>
      </c>
      <c r="B116">
        <v>0.28234712314727523</v>
      </c>
      <c r="C116">
        <v>30</v>
      </c>
      <c r="D116">
        <f>VLOOKUP($C116, '[1]2024'!$A:$F, 6, 0)</f>
        <v>2.4900000000000002</v>
      </c>
    </row>
    <row r="117" spans="1:4" x14ac:dyDescent="0.25">
      <c r="A117">
        <v>116</v>
      </c>
      <c r="B117">
        <v>0.25689216998800563</v>
      </c>
      <c r="C117">
        <v>29</v>
      </c>
      <c r="D117">
        <f>VLOOKUP($C117, '[1]2024'!$A:$F, 6, 0)</f>
        <v>3.12</v>
      </c>
    </row>
    <row r="118" spans="1:4" x14ac:dyDescent="0.25">
      <c r="A118">
        <v>117</v>
      </c>
      <c r="B118">
        <v>0.2448110781461324</v>
      </c>
      <c r="C118">
        <v>28</v>
      </c>
      <c r="D118">
        <f>VLOOKUP($C118, '[1]2024'!$A:$F, 6, 0)</f>
        <v>2.82</v>
      </c>
    </row>
    <row r="119" spans="1:4" x14ac:dyDescent="0.25">
      <c r="A119">
        <v>118</v>
      </c>
      <c r="B119">
        <v>0.25602081412407862</v>
      </c>
      <c r="C119">
        <v>27</v>
      </c>
      <c r="D119">
        <f>VLOOKUP($C119, '[1]2024'!$A:$F, 6, 0)</f>
        <v>2.89</v>
      </c>
    </row>
    <row r="120" spans="1:4" x14ac:dyDescent="0.25">
      <c r="A120">
        <v>119</v>
      </c>
      <c r="B120">
        <v>0.27101396362498031</v>
      </c>
      <c r="C120">
        <v>26</v>
      </c>
      <c r="D120">
        <f>VLOOKUP($C120, '[1]2024'!$A:$F, 6, 0)</f>
        <v>2.76</v>
      </c>
    </row>
    <row r="121" spans="1:4" x14ac:dyDescent="0.25">
      <c r="A121">
        <v>120</v>
      </c>
      <c r="B121">
        <v>0.27931503084586762</v>
      </c>
      <c r="C121">
        <v>25</v>
      </c>
      <c r="D121">
        <f>VLOOKUP($C121, '[1]2024'!$A:$F, 6, 0)</f>
        <v>2.67</v>
      </c>
    </row>
    <row r="122" spans="1:4" x14ac:dyDescent="0.25">
      <c r="A122">
        <v>121</v>
      </c>
      <c r="B122">
        <v>0.27719727743386419</v>
      </c>
      <c r="C122">
        <v>37</v>
      </c>
      <c r="D122">
        <f>VLOOKUP($C122, '[1]2024'!$A:$F, 6, 0)</f>
        <v>3.08</v>
      </c>
    </row>
    <row r="123" spans="1:4" x14ac:dyDescent="0.25">
      <c r="A123">
        <v>122</v>
      </c>
      <c r="B123">
        <v>0.2760983698823416</v>
      </c>
      <c r="C123">
        <v>36</v>
      </c>
      <c r="D123">
        <f>VLOOKUP($C123, '[1]2024'!$A:$F, 6, 0)</f>
        <v>3.27</v>
      </c>
    </row>
    <row r="124" spans="1:4" x14ac:dyDescent="0.25">
      <c r="A124">
        <v>123</v>
      </c>
      <c r="B124">
        <v>0.29317925874900591</v>
      </c>
      <c r="C124">
        <v>35</v>
      </c>
      <c r="D124">
        <f>VLOOKUP($C124, '[1]2024'!$A:$F, 6, 0)</f>
        <v>2.34</v>
      </c>
    </row>
    <row r="125" spans="1:4" x14ac:dyDescent="0.25">
      <c r="A125">
        <v>124</v>
      </c>
      <c r="B125">
        <v>0.28921171409084118</v>
      </c>
      <c r="C125">
        <v>34</v>
      </c>
      <c r="D125">
        <f>VLOOKUP($C125, '[1]2024'!$A:$F, 6, 0)</f>
        <v>2.94</v>
      </c>
    </row>
    <row r="126" spans="1:4" x14ac:dyDescent="0.25">
      <c r="A126">
        <v>125</v>
      </c>
      <c r="B126">
        <v>0.28921022991940498</v>
      </c>
      <c r="C126">
        <v>17</v>
      </c>
      <c r="D126">
        <f>VLOOKUP($C126, '[1]2024'!$A:$F, 6, 0)</f>
        <v>2.78</v>
      </c>
    </row>
    <row r="127" spans="1:4" x14ac:dyDescent="0.25">
      <c r="A127">
        <v>126</v>
      </c>
      <c r="B127">
        <v>0.27805582948824958</v>
      </c>
      <c r="C127">
        <v>16</v>
      </c>
      <c r="D127">
        <f>VLOOKUP($C127, '[1]2024'!$A:$F, 6, 0)</f>
        <v>3.26</v>
      </c>
    </row>
    <row r="128" spans="1:4" x14ac:dyDescent="0.25">
      <c r="A128">
        <v>127</v>
      </c>
      <c r="B128">
        <v>0.28039093988799141</v>
      </c>
      <c r="C128">
        <v>15</v>
      </c>
      <c r="D128">
        <f>VLOOKUP($C128, '[1]2024'!$A:$F, 6, 0)</f>
        <v>3.21</v>
      </c>
    </row>
    <row r="129" spans="1:4" x14ac:dyDescent="0.25">
      <c r="A129">
        <v>128</v>
      </c>
      <c r="B129">
        <v>0.27687483942773189</v>
      </c>
      <c r="C129">
        <v>14</v>
      </c>
      <c r="D129">
        <f>VLOOKUP($C129, '[1]2024'!$A:$F, 6, 0)</f>
        <v>2.9</v>
      </c>
    </row>
    <row r="130" spans="1:4" x14ac:dyDescent="0.25">
      <c r="A130">
        <v>129</v>
      </c>
      <c r="B130">
        <v>0.28104404422398932</v>
      </c>
      <c r="C130">
        <v>13</v>
      </c>
      <c r="D130">
        <f>VLOOKUP($C130, '[1]2024'!$A:$F, 6, 0)</f>
        <v>2.71</v>
      </c>
    </row>
    <row r="131" spans="1:4" x14ac:dyDescent="0.25">
      <c r="A131">
        <v>130</v>
      </c>
      <c r="B131">
        <v>0.30574305464043972</v>
      </c>
      <c r="C131">
        <v>12</v>
      </c>
      <c r="D131">
        <f>VLOOKUP($C131, '[1]2024'!$A:$F, 6, 0)</f>
        <v>3.68</v>
      </c>
    </row>
    <row r="132" spans="1:4" x14ac:dyDescent="0.25">
      <c r="A132">
        <v>131</v>
      </c>
      <c r="B132">
        <v>0.27871193712667058</v>
      </c>
      <c r="C132">
        <v>11</v>
      </c>
      <c r="D132">
        <f>VLOOKUP($C132, '[1]2024'!$A:$F, 6, 0)</f>
        <v>2.66</v>
      </c>
    </row>
    <row r="133" spans="1:4" x14ac:dyDescent="0.25">
      <c r="A133">
        <v>132</v>
      </c>
      <c r="B133">
        <v>0.2946772019625381</v>
      </c>
      <c r="C133">
        <v>10</v>
      </c>
      <c r="D133">
        <f>VLOOKUP($C133, '[1]2024'!$A:$F, 6, 0)</f>
        <v>3.16</v>
      </c>
    </row>
    <row r="134" spans="1:4" x14ac:dyDescent="0.25">
      <c r="A134">
        <v>133</v>
      </c>
      <c r="B134">
        <v>0.30199754402155299</v>
      </c>
      <c r="C134">
        <v>9</v>
      </c>
      <c r="D134">
        <f>VLOOKUP($C134, '[1]2024'!$A:$F, 6, 0)</f>
        <v>2.69</v>
      </c>
    </row>
    <row r="135" spans="1:4" x14ac:dyDescent="0.25">
      <c r="A135">
        <v>134</v>
      </c>
      <c r="B135">
        <v>0.31007582436198822</v>
      </c>
      <c r="C135">
        <v>8</v>
      </c>
      <c r="D135">
        <f>VLOOKUP($C135, '[1]2024'!$A:$F, 6, 0)</f>
        <v>3.15</v>
      </c>
    </row>
    <row r="136" spans="1:4" x14ac:dyDescent="0.25">
      <c r="A136">
        <v>135</v>
      </c>
      <c r="B136">
        <v>0.31778635572045277</v>
      </c>
      <c r="C136">
        <v>7</v>
      </c>
      <c r="D136">
        <f>VLOOKUP($C136, '[1]2024'!$A:$F, 6, 0)</f>
        <v>2.98</v>
      </c>
    </row>
    <row r="137" spans="1:4" x14ac:dyDescent="0.25">
      <c r="A137">
        <v>136</v>
      </c>
      <c r="B137">
        <v>0.28694091712846592</v>
      </c>
      <c r="C137">
        <v>6</v>
      </c>
      <c r="D137">
        <f>VLOOKUP($C137, '[1]2024'!$A:$F, 6, 0)</f>
        <v>2.65</v>
      </c>
    </row>
    <row r="138" spans="1:4" x14ac:dyDescent="0.25">
      <c r="A138">
        <v>137</v>
      </c>
      <c r="B138">
        <v>0.31422354657198581</v>
      </c>
      <c r="C138">
        <v>5</v>
      </c>
      <c r="D138">
        <f>VLOOKUP($C138, '[1]2024'!$A:$F, 6, 0)</f>
        <v>2.8</v>
      </c>
    </row>
    <row r="139" spans="1:4" x14ac:dyDescent="0.25">
      <c r="A139">
        <v>138</v>
      </c>
      <c r="B139">
        <v>0.30618575239451989</v>
      </c>
      <c r="C139">
        <v>4</v>
      </c>
      <c r="D139">
        <f>VLOOKUP($C139, '[1]2024'!$A:$F, 6, 0)</f>
        <v>2.4300000000000002</v>
      </c>
    </row>
    <row r="140" spans="1:4" x14ac:dyDescent="0.25">
      <c r="A140">
        <v>139</v>
      </c>
      <c r="B140">
        <v>0.28989899071393088</v>
      </c>
      <c r="C140">
        <v>3</v>
      </c>
      <c r="D140">
        <f>VLOOKUP($C140, '[1]2024'!$A:$F, 6, 0)</f>
        <v>2.36</v>
      </c>
    </row>
    <row r="141" spans="1:4" x14ac:dyDescent="0.25">
      <c r="A141">
        <v>140</v>
      </c>
      <c r="B141">
        <v>0.25278308056111759</v>
      </c>
      <c r="C141">
        <v>2</v>
      </c>
      <c r="D141">
        <f>VLOOKUP($C141, '[1]2024'!$A:$F, 6, 0)</f>
        <v>2.68</v>
      </c>
    </row>
    <row r="142" spans="1:4" x14ac:dyDescent="0.25">
      <c r="A142">
        <v>141</v>
      </c>
      <c r="B142">
        <v>0.27869050595358791</v>
      </c>
      <c r="C142">
        <v>1</v>
      </c>
      <c r="D142">
        <f>VLOOKUP($C142, '[1]2024'!$A:$F, 6, 0)</f>
        <v>2.5</v>
      </c>
    </row>
    <row r="143" spans="1:4" x14ac:dyDescent="0.25">
      <c r="A143">
        <v>142</v>
      </c>
      <c r="B143">
        <v>0.28703255671910949</v>
      </c>
      <c r="C143">
        <v>24</v>
      </c>
      <c r="D143">
        <f>VLOOKUP($C143, '[1]2024'!$A:$F, 6, 0)</f>
        <v>3.1</v>
      </c>
    </row>
    <row r="144" spans="1:4" x14ac:dyDescent="0.25">
      <c r="A144">
        <v>143</v>
      </c>
      <c r="B144">
        <v>0.27673380163820599</v>
      </c>
      <c r="C144">
        <v>23</v>
      </c>
      <c r="D144">
        <f>VLOOKUP($C144, '[1]2024'!$A:$F, 6, 0)</f>
        <v>2.9</v>
      </c>
    </row>
    <row r="145" spans="1:4" x14ac:dyDescent="0.25">
      <c r="A145">
        <v>144</v>
      </c>
      <c r="B145">
        <v>0.27680145453446581</v>
      </c>
      <c r="C145">
        <v>22</v>
      </c>
      <c r="D145">
        <f>VLOOKUP($C145, '[1]2024'!$A:$F, 6, 0)</f>
        <v>2.85</v>
      </c>
    </row>
    <row r="146" spans="1:4" x14ac:dyDescent="0.25">
      <c r="A146">
        <v>145</v>
      </c>
      <c r="B146">
        <v>0.27190573146391811</v>
      </c>
      <c r="C146">
        <v>21</v>
      </c>
      <c r="D146">
        <f>VLOOKUP($C146, '[1]2024'!$A:$F, 6, 0)</f>
        <v>2.11</v>
      </c>
    </row>
    <row r="147" spans="1:4" x14ac:dyDescent="0.25">
      <c r="A147">
        <v>146</v>
      </c>
      <c r="B147">
        <v>0.26305227105271761</v>
      </c>
      <c r="C147">
        <v>20</v>
      </c>
      <c r="D147">
        <f>VLOOKUP($C147, '[1]2024'!$A:$F, 6, 0)</f>
        <v>2.6</v>
      </c>
    </row>
    <row r="148" spans="1:4" x14ac:dyDescent="0.25">
      <c r="A148">
        <v>147</v>
      </c>
      <c r="B148">
        <v>0.28205113933762987</v>
      </c>
      <c r="C148">
        <v>19</v>
      </c>
      <c r="D148">
        <f>VLOOKUP($C148, '[1]2024'!$A:$F, 6, 0)</f>
        <v>2.44</v>
      </c>
    </row>
    <row r="149" spans="1:4" x14ac:dyDescent="0.25">
      <c r="A149">
        <v>148</v>
      </c>
      <c r="B149">
        <v>0.27773501459301109</v>
      </c>
      <c r="C149">
        <v>18</v>
      </c>
      <c r="D149">
        <f>VLOOKUP($C149, '[1]2024'!$A:$F, 6, 0)</f>
        <v>2.8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Смольков</cp:lastModifiedBy>
  <dcterms:created xsi:type="dcterms:W3CDTF">2025-12-14T07:29:19Z</dcterms:created>
  <dcterms:modified xsi:type="dcterms:W3CDTF">2025-12-14T09:12:45Z</dcterms:modified>
</cp:coreProperties>
</file>